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entas1\Desktop\"/>
    </mc:Choice>
  </mc:AlternateContent>
  <bookViews>
    <workbookView xWindow="0" yWindow="0" windowWidth="20490" windowHeight="7350"/>
  </bookViews>
  <sheets>
    <sheet name="12 HORAS 2025" sheetId="1" r:id="rId1"/>
  </sheets>
  <externalReferences>
    <externalReference r:id="rId2"/>
  </externalReferences>
  <definedNames>
    <definedName name="_xlnm.Print_Area" localSheetId="0">'12 HORAS 2025'!$A$1:$G$28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9" i="1" l="1"/>
  <c r="F20" i="1" s="1"/>
  <c r="F21" i="1" s="1"/>
  <c r="F22" i="1" s="1"/>
  <c r="F23" i="1" s="1"/>
  <c r="F24" i="1" s="1"/>
  <c r="F25" i="1" s="1"/>
  <c r="F26" i="1" s="1"/>
  <c r="G28" i="1" s="1"/>
  <c r="I7" i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M6" i="1"/>
  <c r="G5" i="1"/>
</calcChain>
</file>

<file path=xl/sharedStrings.xml><?xml version="1.0" encoding="utf-8"?>
<sst xmlns="http://schemas.openxmlformats.org/spreadsheetml/2006/main" count="29" uniqueCount="28">
  <si>
    <t>CONTROL DE HORAS DIANA</t>
  </si>
  <si>
    <t>RELACION HORA</t>
  </si>
  <si>
    <t>DIF PAQ ANTERIOR</t>
  </si>
  <si>
    <t>N°Recibos</t>
  </si>
  <si>
    <t>Fecha visita</t>
  </si>
  <si>
    <t>Entrada</t>
  </si>
  <si>
    <t>Salida</t>
  </si>
  <si>
    <t>TOTAL HORAS</t>
  </si>
  <si>
    <t>Total ACUM</t>
  </si>
  <si>
    <t>FACT 0552 (12 HORAS )</t>
  </si>
  <si>
    <t>HORAS</t>
  </si>
  <si>
    <t>EVAL. DE SERVIDOR</t>
  </si>
  <si>
    <t>INSTAL. DE SISTEMAS ACTUALES EN NUEVO SERVIDOR</t>
  </si>
  <si>
    <t xml:space="preserve">CURSO MANEJO FUNCIONAL </t>
  </si>
  <si>
    <t>CREACION DE USUARIO -CREACION DE MAPAS ADM-CONT</t>
  </si>
  <si>
    <t>REALIZACION DE FORMATO DE FACT VENTAS</t>
  </si>
  <si>
    <t>AJUSTE FACT DE VENTA-CORRELATIVO FACT COMPRA Y VENTA-PARAMETRIZACION</t>
  </si>
  <si>
    <t>COMPRA 10 HORA 30-04-2025</t>
  </si>
  <si>
    <t>AJUSTE FACT DE VENTAS -DUDAS VARIAS SISTEMA NUEVO-DEF. FECHA INTEGRACION</t>
  </si>
  <si>
    <t>RELACION IMP</t>
  </si>
  <si>
    <t>PRORGRAMACION CTA CONTABLE CON ADMINISTRACION</t>
  </si>
  <si>
    <t xml:space="preserve">CONFIRGURACION REGLAS DE INTEGRACION MODULO COMPRA Y VENTA </t>
  </si>
  <si>
    <t>CONFIGURACION NOMINA-REPORTES</t>
  </si>
  <si>
    <t>PROG, MUNICIPAL</t>
  </si>
  <si>
    <t>PROGRAMACION REGLAS PROVEE VENTA</t>
  </si>
  <si>
    <t>SISTEMA PROFIT (ADM-CONTB-RRHH)</t>
  </si>
  <si>
    <t xml:space="preserve">HORAS FACTURA </t>
  </si>
  <si>
    <t>Disponibles: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</si>
</sst>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;@"/>
    <numFmt numFmtId="165" formatCode="[$-F400]h:mm:ss\ AM/PM"/>
    <numFmt numFmtId="166" formatCode="0.0"/>
    <numFmt numFmtId="167" formatCode="#,##0.00;[Red]#,##0.0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i/>
      <sz val="16"/>
      <color theme="3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/>
    </xf>
    <xf numFmtId="4" fontId="0" fillId="0" borderId="0" xfId="0" applyNumberFormat="1"/>
    <xf numFmtId="0" fontId="4" fillId="0" borderId="0" xfId="0" applyFont="1" applyAlignment="1"/>
    <xf numFmtId="4" fontId="4" fillId="0" borderId="0" xfId="0" applyNumberFormat="1" applyFont="1" applyAlignment="1"/>
    <xf numFmtId="0" fontId="5" fillId="2" borderId="1" xfId="0" applyFont="1" applyFill="1" applyBorder="1" applyAlignment="1">
      <alignment horizontal="center"/>
    </xf>
    <xf numFmtId="0" fontId="5" fillId="2" borderId="0" xfId="0" applyFont="1" applyFill="1"/>
    <xf numFmtId="4" fontId="5" fillId="2" borderId="0" xfId="0" applyNumberFormat="1" applyFont="1" applyFill="1"/>
    <xf numFmtId="0" fontId="6" fillId="0" borderId="2" xfId="0" applyFont="1" applyBorder="1" applyAlignment="1">
      <alignment vertical="center" wrapText="1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4" fontId="7" fillId="0" borderId="6" xfId="0" applyNumberFormat="1" applyFont="1" applyBorder="1" applyAlignment="1">
      <alignment vertical="center" wrapText="1"/>
    </xf>
    <xf numFmtId="164" fontId="0" fillId="0" borderId="6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left" vertical="center"/>
    </xf>
    <xf numFmtId="165" fontId="0" fillId="0" borderId="6" xfId="0" applyNumberFormat="1" applyBorder="1" applyAlignment="1">
      <alignment vertical="center"/>
    </xf>
    <xf numFmtId="1" fontId="0" fillId="0" borderId="6" xfId="0" applyNumberFormat="1" applyBorder="1"/>
    <xf numFmtId="4" fontId="0" fillId="0" borderId="6" xfId="0" applyNumberForma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164" fontId="0" fillId="0" borderId="6" xfId="0" applyNumberFormat="1" applyBorder="1"/>
    <xf numFmtId="165" fontId="0" fillId="0" borderId="6" xfId="0" applyNumberFormat="1" applyBorder="1" applyAlignment="1">
      <alignment horizontal="left"/>
    </xf>
    <xf numFmtId="165" fontId="0" fillId="0" borderId="6" xfId="0" applyNumberFormat="1" applyBorder="1"/>
    <xf numFmtId="4" fontId="0" fillId="0" borderId="6" xfId="0" applyNumberFormat="1" applyBorder="1"/>
    <xf numFmtId="0" fontId="0" fillId="0" borderId="8" xfId="0" applyBorder="1" applyAlignment="1">
      <alignment horizontal="center" vertical="center"/>
    </xf>
    <xf numFmtId="0" fontId="0" fillId="0" borderId="9" xfId="0" applyFill="1" applyBorder="1"/>
    <xf numFmtId="166" fontId="0" fillId="0" borderId="6" xfId="0" applyNumberFormat="1" applyBorder="1"/>
    <xf numFmtId="1" fontId="0" fillId="0" borderId="0" xfId="0" applyNumberFormat="1"/>
    <xf numFmtId="0" fontId="7" fillId="0" borderId="6" xfId="0" applyFont="1" applyBorder="1" applyAlignment="1">
      <alignment vertical="center"/>
    </xf>
    <xf numFmtId="164" fontId="0" fillId="3" borderId="6" xfId="0" applyNumberFormat="1" applyFill="1" applyBorder="1"/>
    <xf numFmtId="165" fontId="0" fillId="3" borderId="6" xfId="0" applyNumberFormat="1" applyFill="1" applyBorder="1" applyAlignment="1">
      <alignment horizontal="left"/>
    </xf>
    <xf numFmtId="165" fontId="0" fillId="3" borderId="6" xfId="0" applyNumberFormat="1" applyFill="1" applyBorder="1"/>
    <xf numFmtId="0" fontId="0" fillId="3" borderId="9" xfId="0" applyFill="1" applyBorder="1"/>
    <xf numFmtId="0" fontId="0" fillId="0" borderId="0" xfId="0" applyFill="1" applyBorder="1"/>
    <xf numFmtId="0" fontId="7" fillId="0" borderId="0" xfId="0" applyFont="1" applyAlignment="1">
      <alignment vertical="center" wrapText="1"/>
    </xf>
    <xf numFmtId="0" fontId="0" fillId="0" borderId="0" xfId="0" applyFill="1" applyBorder="1" applyAlignment="1"/>
    <xf numFmtId="0" fontId="0" fillId="0" borderId="10" xfId="0" applyFill="1" applyBorder="1" applyAlignment="1"/>
    <xf numFmtId="4" fontId="8" fillId="0" borderId="11" xfId="0" applyNumberFormat="1" applyFont="1" applyFill="1" applyBorder="1"/>
    <xf numFmtId="167" fontId="9" fillId="0" borderId="5" xfId="0" applyNumberFormat="1" applyFont="1" applyFill="1" applyBorder="1"/>
    <xf numFmtId="0" fontId="0" fillId="0" borderId="0" xfId="0" applyFill="1" applyAlignment="1"/>
    <xf numFmtId="4" fontId="0" fillId="0" borderId="12" xfId="0" applyNumberFormat="1" applyFill="1" applyBorder="1"/>
    <xf numFmtId="4" fontId="1" fillId="0" borderId="5" xfId="0" applyNumberFormat="1" applyFont="1" applyFill="1" applyBorder="1"/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Fill="1"/>
    <xf numFmtId="4" fontId="10" fillId="0" borderId="0" xfId="0" applyNumberFormat="1" applyFont="1" applyFill="1"/>
    <xf numFmtId="0" fontId="0" fillId="0" borderId="0" xfId="0" applyFill="1"/>
    <xf numFmtId="4" fontId="0" fillId="0" borderId="0" xfId="0" applyNumberFormat="1" applyFill="1"/>
    <xf numFmtId="4" fontId="0" fillId="0" borderId="0" xfId="0" applyNumberFormat="1" applyAlignment="1">
      <alignment horizontal="right" vertical="center" wrapText="1"/>
    </xf>
    <xf numFmtId="4" fontId="0" fillId="0" borderId="0" xfId="0" applyNumberFormat="1" applyFill="1" applyAlignment="1">
      <alignment horizontal="right"/>
    </xf>
    <xf numFmtId="0" fontId="0" fillId="0" borderId="0" xfId="0" applyAlignment="1">
      <alignment horizontal="right" vertical="center" wrapText="1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OURLEIM/JOPALIM/RELACION%20DE%20CAJAS%20-%20GASTOS%20MENSUAL-%20COMPRAS/Control%20Horas%20Diana-ANDRES-%20DOU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 HORAS 2023"/>
      <sheetName val="12 HORAS 2025"/>
      <sheetName val="SERVICIO ANDRES"/>
      <sheetName val="40 HORAS 03-2020"/>
      <sheetName val="20 HORAS 31-10-2019"/>
      <sheetName val="12 HORAS -10-18 (2)"/>
      <sheetName val="12 HORAS 18-10-18"/>
      <sheetName val="12 HORAS 07-08-18"/>
      <sheetName val="2017"/>
      <sheetName val="20 HORAS 24-08-17"/>
      <sheetName val="20 HORAS 22-12-17 "/>
    </sheetNames>
    <sheetDataSet>
      <sheetData sheetId="0">
        <row r="43">
          <cell r="G43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99"/>
    <pageSetUpPr fitToPage="1"/>
  </sheetPr>
  <dimension ref="A2:M39"/>
  <sheetViews>
    <sheetView tabSelected="1" workbookViewId="0">
      <selection activeCell="E23" sqref="E23"/>
    </sheetView>
  </sheetViews>
  <sheetFormatPr baseColWidth="10" defaultRowHeight="15" x14ac:dyDescent="0.25"/>
  <cols>
    <col min="1" max="1" width="51.85546875" style="1" customWidth="1"/>
    <col min="2" max="2" width="13.85546875" customWidth="1"/>
    <col min="3" max="3" width="13.7109375" bestFit="1" customWidth="1"/>
    <col min="4" max="4" width="12.85546875" bestFit="1" customWidth="1"/>
    <col min="5" max="5" width="17.28515625" customWidth="1"/>
    <col min="6" max="6" width="15.85546875" style="3" customWidth="1"/>
    <col min="10" max="10" width="12.7109375" style="3" bestFit="1" customWidth="1"/>
    <col min="11" max="11" width="11.7109375" bestFit="1" customWidth="1"/>
  </cols>
  <sheetData>
    <row r="2" spans="1:13" ht="21" x14ac:dyDescent="0.35">
      <c r="B2" s="2" t="s">
        <v>0</v>
      </c>
      <c r="C2" s="2"/>
      <c r="D2" s="2"/>
      <c r="E2" s="2"/>
      <c r="F2" s="2"/>
      <c r="G2" s="2"/>
    </row>
    <row r="3" spans="1:13" ht="21" x14ac:dyDescent="0.35">
      <c r="B3" s="4"/>
      <c r="C3" s="4"/>
      <c r="D3" s="4"/>
      <c r="F3" s="5"/>
      <c r="G3" s="4"/>
    </row>
    <row r="4" spans="1:13" ht="19.5" thickBot="1" x14ac:dyDescent="0.35">
      <c r="D4" s="6" t="s">
        <v>1</v>
      </c>
      <c r="E4" s="6"/>
      <c r="F4" s="6"/>
      <c r="G4" s="7"/>
      <c r="J4"/>
    </row>
    <row r="5" spans="1:13" ht="19.5" thickBot="1" x14ac:dyDescent="0.35">
      <c r="D5" s="6" t="s">
        <v>2</v>
      </c>
      <c r="E5" s="6"/>
      <c r="F5" s="6"/>
      <c r="G5" s="8">
        <f>+'[1]10 HORAS 2023'!G43</f>
        <v>1</v>
      </c>
    </row>
    <row r="6" spans="1:13" ht="21" customHeight="1" thickBot="1" x14ac:dyDescent="0.3">
      <c r="A6" s="9" t="s">
        <v>3</v>
      </c>
      <c r="B6" s="10" t="s">
        <v>4</v>
      </c>
      <c r="C6" s="11" t="s">
        <v>5</v>
      </c>
      <c r="D6" s="11" t="s">
        <v>6</v>
      </c>
      <c r="E6" s="11" t="s">
        <v>7</v>
      </c>
      <c r="F6" s="12" t="s">
        <v>8</v>
      </c>
      <c r="G6" s="13"/>
      <c r="M6">
        <f>+J6*K6</f>
        <v>0</v>
      </c>
    </row>
    <row r="7" spans="1:13" ht="36.75" customHeight="1" x14ac:dyDescent="0.25">
      <c r="A7" s="14" t="s">
        <v>9</v>
      </c>
      <c r="B7" s="15">
        <v>45714</v>
      </c>
      <c r="C7" s="16">
        <v>12</v>
      </c>
      <c r="D7" s="17"/>
      <c r="E7" s="18"/>
      <c r="F7" s="19">
        <f>+G5+C7-D7</f>
        <v>13</v>
      </c>
      <c r="G7" s="20" t="s">
        <v>10</v>
      </c>
      <c r="I7">
        <f>13-4-4</f>
        <v>5</v>
      </c>
    </row>
    <row r="8" spans="1:13" x14ac:dyDescent="0.25">
      <c r="A8" s="21" t="s">
        <v>11</v>
      </c>
      <c r="B8" s="22">
        <v>45726</v>
      </c>
      <c r="C8" s="23"/>
      <c r="D8" s="24"/>
      <c r="E8" s="18"/>
      <c r="F8" s="25">
        <f>+F7-E8</f>
        <v>13</v>
      </c>
      <c r="G8" s="26"/>
    </row>
    <row r="9" spans="1:13" x14ac:dyDescent="0.25">
      <c r="A9" s="21" t="s">
        <v>12</v>
      </c>
      <c r="B9" s="22">
        <v>45743</v>
      </c>
      <c r="C9" s="23"/>
      <c r="D9" s="23"/>
      <c r="E9" s="18"/>
      <c r="F9" s="25">
        <f>+F8-E9</f>
        <v>13</v>
      </c>
      <c r="G9" s="26"/>
      <c r="H9" s="27"/>
    </row>
    <row r="10" spans="1:13" x14ac:dyDescent="0.25">
      <c r="A10" s="21" t="s">
        <v>13</v>
      </c>
      <c r="B10" s="22">
        <v>45749</v>
      </c>
      <c r="C10" s="23">
        <v>0.35416666666666669</v>
      </c>
      <c r="D10" s="24">
        <v>0.52083333333333337</v>
      </c>
      <c r="E10" s="28">
        <v>4</v>
      </c>
      <c r="F10" s="25">
        <f>+F9-E10</f>
        <v>9</v>
      </c>
      <c r="G10" s="26"/>
    </row>
    <row r="11" spans="1:13" x14ac:dyDescent="0.25">
      <c r="A11" s="21" t="s">
        <v>14</v>
      </c>
      <c r="B11" s="22">
        <v>45755</v>
      </c>
      <c r="C11" s="23">
        <v>0.375</v>
      </c>
      <c r="D11" s="24">
        <v>1.5416666666666665</v>
      </c>
      <c r="E11" s="28">
        <v>4</v>
      </c>
      <c r="F11" s="25">
        <f t="shared" ref="F11:F26" si="0">+F10-E11</f>
        <v>5</v>
      </c>
      <c r="G11" s="26"/>
      <c r="I11" s="29"/>
      <c r="K11" s="3"/>
    </row>
    <row r="12" spans="1:13" ht="15" customHeight="1" x14ac:dyDescent="0.25">
      <c r="A12" s="21" t="s">
        <v>15</v>
      </c>
      <c r="B12" s="22">
        <v>45769</v>
      </c>
      <c r="C12" s="23">
        <v>0.39583333333333331</v>
      </c>
      <c r="D12" s="24">
        <v>1.5416666666666665</v>
      </c>
      <c r="E12" s="28">
        <v>3.5</v>
      </c>
      <c r="F12" s="25">
        <f t="shared" si="0"/>
        <v>1.5</v>
      </c>
      <c r="G12" s="26"/>
      <c r="H12" s="27"/>
    </row>
    <row r="13" spans="1:13" ht="15" customHeight="1" x14ac:dyDescent="0.25">
      <c r="A13" s="30" t="s">
        <v>16</v>
      </c>
      <c r="B13" s="31">
        <v>45776</v>
      </c>
      <c r="C13" s="32">
        <v>0.35416666666666669</v>
      </c>
      <c r="D13" s="33">
        <v>0.47916666666666669</v>
      </c>
      <c r="E13" s="28">
        <v>3</v>
      </c>
      <c r="F13" s="25">
        <f t="shared" si="0"/>
        <v>-1.5</v>
      </c>
      <c r="G13" s="26"/>
      <c r="H13" s="34"/>
    </row>
    <row r="14" spans="1:13" ht="15" customHeight="1" x14ac:dyDescent="0.25">
      <c r="A14" s="21" t="s">
        <v>17</v>
      </c>
      <c r="B14" s="22">
        <v>45777</v>
      </c>
      <c r="C14" s="23"/>
      <c r="D14" s="24"/>
      <c r="E14" s="28"/>
      <c r="F14" s="25">
        <f>+F13-E14+10</f>
        <v>8.5</v>
      </c>
      <c r="G14" s="26"/>
      <c r="H14" s="27"/>
    </row>
    <row r="15" spans="1:13" ht="22.5" customHeight="1" x14ac:dyDescent="0.25">
      <c r="A15" s="21" t="s">
        <v>18</v>
      </c>
      <c r="B15" s="22">
        <v>45791</v>
      </c>
      <c r="C15" s="23">
        <v>0.41666666666666669</v>
      </c>
      <c r="D15" s="24">
        <v>0.53125</v>
      </c>
      <c r="E15" s="28">
        <v>2.5</v>
      </c>
      <c r="F15" s="25">
        <f t="shared" si="0"/>
        <v>6</v>
      </c>
      <c r="G15" s="26"/>
      <c r="H15" s="27"/>
    </row>
    <row r="16" spans="1:13" ht="22.5" customHeight="1" x14ac:dyDescent="0.25">
      <c r="A16" s="21" t="s">
        <v>19</v>
      </c>
      <c r="B16" s="22">
        <v>45796</v>
      </c>
      <c r="C16" s="23"/>
      <c r="D16" s="24"/>
      <c r="E16" s="28">
        <v>1</v>
      </c>
      <c r="F16" s="25">
        <f t="shared" si="0"/>
        <v>5</v>
      </c>
      <c r="G16" s="26"/>
      <c r="H16" s="27"/>
    </row>
    <row r="17" spans="1:8" ht="15" customHeight="1" x14ac:dyDescent="0.25">
      <c r="A17" s="21" t="s">
        <v>20</v>
      </c>
      <c r="B17" s="22">
        <v>45818</v>
      </c>
      <c r="C17" s="23">
        <v>0.39583333333333331</v>
      </c>
      <c r="D17" s="24">
        <v>0.52083333333333337</v>
      </c>
      <c r="E17" s="28">
        <v>3</v>
      </c>
      <c r="F17" s="25">
        <f t="shared" si="0"/>
        <v>2</v>
      </c>
      <c r="G17" s="26"/>
      <c r="H17" s="27"/>
    </row>
    <row r="18" spans="1:8" ht="21.75" customHeight="1" x14ac:dyDescent="0.25">
      <c r="A18" s="21" t="s">
        <v>21</v>
      </c>
      <c r="B18" s="22">
        <v>45848</v>
      </c>
      <c r="C18" s="23"/>
      <c r="D18" s="24"/>
      <c r="E18" s="28">
        <v>2</v>
      </c>
      <c r="F18" s="25">
        <f t="shared" si="0"/>
        <v>0</v>
      </c>
      <c r="G18" s="26"/>
      <c r="H18" s="27"/>
    </row>
    <row r="19" spans="1:8" ht="15" customHeight="1" x14ac:dyDescent="0.25">
      <c r="A19" s="21" t="s">
        <v>17</v>
      </c>
      <c r="B19" s="22">
        <v>45860</v>
      </c>
      <c r="C19" s="23"/>
      <c r="D19" s="24"/>
      <c r="E19" s="28">
        <v>10</v>
      </c>
      <c r="F19" s="25">
        <f>+E19</f>
        <v>10</v>
      </c>
      <c r="G19" s="26"/>
      <c r="H19" s="35"/>
    </row>
    <row r="20" spans="1:8" ht="15" customHeight="1" x14ac:dyDescent="0.25">
      <c r="A20" s="21" t="s">
        <v>22</v>
      </c>
      <c r="B20" s="22">
        <v>45863</v>
      </c>
      <c r="C20" s="23"/>
      <c r="D20" s="24"/>
      <c r="E20" s="28">
        <v>2.5</v>
      </c>
      <c r="F20" s="25">
        <f t="shared" si="0"/>
        <v>7.5</v>
      </c>
      <c r="G20" s="26"/>
      <c r="H20" s="35"/>
    </row>
    <row r="21" spans="1:8" ht="15" customHeight="1" x14ac:dyDescent="0.25">
      <c r="A21" s="21" t="s">
        <v>23</v>
      </c>
      <c r="B21" s="22">
        <v>45841</v>
      </c>
      <c r="C21" s="23"/>
      <c r="D21" s="24"/>
      <c r="E21" s="28">
        <v>1</v>
      </c>
      <c r="F21" s="25">
        <f t="shared" si="0"/>
        <v>6.5</v>
      </c>
      <c r="G21" s="26"/>
      <c r="H21" s="35"/>
    </row>
    <row r="22" spans="1:8" ht="15" customHeight="1" x14ac:dyDescent="0.25">
      <c r="A22" s="21" t="s">
        <v>24</v>
      </c>
      <c r="B22" s="22">
        <v>45958</v>
      </c>
      <c r="C22" s="23"/>
      <c r="D22" s="24"/>
      <c r="E22" s="28">
        <v>1</v>
      </c>
      <c r="F22" s="25">
        <f>+F21-E22</f>
        <v>5.5</v>
      </c>
      <c r="G22" s="26"/>
      <c r="H22" s="35"/>
    </row>
    <row r="23" spans="1:8" ht="15" customHeight="1" x14ac:dyDescent="0.25">
      <c r="A23" s="21" t="s">
        <v>25</v>
      </c>
      <c r="B23" s="22">
        <v>46104</v>
      </c>
      <c r="C23" s="23"/>
      <c r="D23" s="24"/>
      <c r="E23" s="28">
        <v>6.5</v>
      </c>
      <c r="F23" s="25">
        <f t="shared" si="0"/>
        <v>-1</v>
      </c>
      <c r="G23" s="26"/>
      <c r="H23" s="35"/>
    </row>
    <row r="24" spans="1:8" ht="15" customHeight="1" x14ac:dyDescent="0.25">
      <c r="A24" s="21" t="s">
        <v>26</v>
      </c>
      <c r="B24" s="22">
        <v>46108</v>
      </c>
      <c r="C24" s="23"/>
      <c r="D24" s="24"/>
      <c r="E24" s="28">
        <v>10</v>
      </c>
      <c r="F24" s="25">
        <f>+F23+E24</f>
        <v>9</v>
      </c>
      <c r="G24" s="26"/>
      <c r="H24" s="35"/>
    </row>
    <row r="25" spans="1:8" ht="15" customHeight="1" x14ac:dyDescent="0.25">
      <c r="A25" s="21"/>
      <c r="B25" s="22"/>
      <c r="C25" s="23"/>
      <c r="D25" s="24"/>
      <c r="E25" s="28"/>
      <c r="F25" s="25">
        <f t="shared" si="0"/>
        <v>9</v>
      </c>
      <c r="G25" s="26"/>
      <c r="H25" s="35"/>
    </row>
    <row r="26" spans="1:8" ht="15" customHeight="1" thickBot="1" x14ac:dyDescent="0.3">
      <c r="A26" s="21"/>
      <c r="B26" s="22"/>
      <c r="C26" s="23"/>
      <c r="D26" s="24"/>
      <c r="E26" s="28"/>
      <c r="F26" s="25">
        <f t="shared" si="0"/>
        <v>9</v>
      </c>
      <c r="G26" s="26"/>
      <c r="H26" s="35"/>
    </row>
    <row r="27" spans="1:8" ht="15.75" thickBot="1" x14ac:dyDescent="0.3">
      <c r="A27" s="36"/>
      <c r="B27" s="37"/>
      <c r="C27" s="37"/>
      <c r="D27" s="37"/>
      <c r="E27" s="38"/>
      <c r="F27" s="39"/>
      <c r="G27" s="40"/>
    </row>
    <row r="28" spans="1:8" ht="15.75" thickBot="1" x14ac:dyDescent="0.3">
      <c r="B28" s="41"/>
      <c r="C28" s="41"/>
      <c r="D28" s="41"/>
      <c r="E28" s="38"/>
      <c r="F28" s="42" t="s">
        <v>27</v>
      </c>
      <c r="G28" s="43">
        <f>+F26</f>
        <v>9</v>
      </c>
    </row>
    <row r="29" spans="1:8" x14ac:dyDescent="0.25">
      <c r="A29" s="44"/>
      <c r="B29" s="45"/>
      <c r="C29" s="45"/>
      <c r="G29" s="3"/>
    </row>
    <row r="30" spans="1:8" x14ac:dyDescent="0.25">
      <c r="A30" s="44"/>
      <c r="B30" s="46"/>
      <c r="C30" s="47"/>
      <c r="D30" s="48"/>
      <c r="E30" s="48"/>
      <c r="F30" s="49"/>
      <c r="G30" s="48"/>
    </row>
    <row r="31" spans="1:8" x14ac:dyDescent="0.25">
      <c r="B31" s="48"/>
      <c r="C31" s="48"/>
      <c r="D31" s="48"/>
      <c r="E31" s="48"/>
      <c r="F31" s="49"/>
      <c r="G31" s="48"/>
    </row>
    <row r="32" spans="1:8" x14ac:dyDescent="0.25">
      <c r="B32" s="48"/>
      <c r="C32" s="48"/>
      <c r="D32" s="48"/>
      <c r="E32" s="48"/>
      <c r="F32" s="49"/>
      <c r="G32" s="48"/>
    </row>
    <row r="33" spans="1:7" x14ac:dyDescent="0.25">
      <c r="B33" s="48"/>
      <c r="C33" s="48"/>
      <c r="D33" s="48"/>
      <c r="E33" s="48"/>
      <c r="F33" s="49"/>
      <c r="G33" s="48"/>
    </row>
    <row r="34" spans="1:7" x14ac:dyDescent="0.25">
      <c r="B34" s="49"/>
      <c r="C34" s="48"/>
      <c r="D34" s="48"/>
      <c r="E34" s="48"/>
      <c r="F34" s="49"/>
      <c r="G34" s="48"/>
    </row>
    <row r="35" spans="1:7" x14ac:dyDescent="0.25">
      <c r="A35" s="50"/>
      <c r="B35" s="51"/>
      <c r="C35" s="48"/>
      <c r="D35" s="48"/>
      <c r="E35" s="48"/>
      <c r="F35" s="49"/>
      <c r="G35" s="48"/>
    </row>
    <row r="36" spans="1:7" x14ac:dyDescent="0.25">
      <c r="A36" s="52"/>
      <c r="B36" s="51"/>
      <c r="C36" s="48"/>
      <c r="D36" s="48"/>
      <c r="E36" s="48"/>
      <c r="F36" s="49"/>
      <c r="G36" s="48"/>
    </row>
    <row r="37" spans="1:7" x14ac:dyDescent="0.25">
      <c r="A37" s="52"/>
      <c r="B37" s="53"/>
      <c r="D37" s="3"/>
    </row>
    <row r="38" spans="1:7" x14ac:dyDescent="0.25">
      <c r="B38" s="3"/>
    </row>
    <row r="39" spans="1:7" x14ac:dyDescent="0.25">
      <c r="B39" s="3"/>
    </row>
  </sheetData>
  <mergeCells count="5">
    <mergeCell ref="B2:G2"/>
    <mergeCell ref="D4:F4"/>
    <mergeCell ref="D5:F5"/>
    <mergeCell ref="F6:G6"/>
    <mergeCell ref="G7:G26"/>
  </mergeCells>
  <pageMargins left="0.7" right="0.7" top="0.75" bottom="0.75" header="0.3" footer="0.3"/>
  <pageSetup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12 HORAS 2025</vt:lpstr>
      <vt:lpstr>'12 HORAS 2025'!Área_de_impresión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VENTAS1</dc:creator>
  <cp:lastModifiedBy>VENTAS1</cp:lastModifiedBy>
  <dcterms:created xsi:type="dcterms:W3CDTF">2026-05-18T20:02:50Z</dcterms:created>
  <dcterms:modified xsi:type="dcterms:W3CDTF">2026-05-18T20:03:28Z</dcterms:modified>
</cp:coreProperties>
</file>